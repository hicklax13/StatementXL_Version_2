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0" windowWidth="29040" windowHeight="15720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sz val="11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n"/>
      <bottom style="thin"/>
    </border>
    <border>
      <top style="thin"/>
      <bottom style="double"/>
    </border>
  </borders>
  <cellStyleXfs count="1">
    <xf numFmtId="0" fontId="0" fillId="0" borderId="2"/>
  </cellStyleXfs>
  <cellXfs count="54">
    <xf numFmtId="0" fontId="0" fillId="0" borderId="0" pivotButton="0" quotePrefix="0" xfId="0"/>
    <xf numFmtId="164" fontId="4" fillId="5" borderId="1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5" fillId="3" borderId="6" applyAlignment="1" pivotButton="0" quotePrefix="0" xfId="0">
      <alignment horizontal="left" vertical="center"/>
    </xf>
    <xf numFmtId="0" fontId="5" fillId="3" borderId="7" applyAlignment="1" pivotButton="0" quotePrefix="0" xfId="0">
      <alignment horizontal="right" vertical="center"/>
    </xf>
    <xf numFmtId="4" fontId="3" fillId="4" borderId="8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0" fontId="0" fillId="7" borderId="8" applyAlignment="1" pivotButton="0" quotePrefix="0" xfId="0">
      <alignment horizontal="right" vertical="center"/>
    </xf>
    <xf numFmtId="164" fontId="4" fillId="8" borderId="5" applyAlignment="1" pivotButton="0" quotePrefix="0" xfId="0">
      <alignment horizontal="right" vertical="center"/>
    </xf>
    <xf numFmtId="4" fontId="3" fillId="4" borderId="10" applyAlignment="1" pivotButton="0" quotePrefix="0" xfId="0">
      <alignment horizontal="right" vertical="center"/>
    </xf>
    <xf numFmtId="0" fontId="0" fillId="7" borderId="1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4" fontId="3" fillId="4" borderId="6" applyAlignment="1" pivotButton="0" quotePrefix="0" xfId="0">
      <alignment horizontal="right" vertical="center"/>
    </xf>
    <xf numFmtId="164" fontId="4" fillId="8" borderId="8" applyAlignment="1" pivotButton="0" quotePrefix="0" xfId="0">
      <alignment horizontal="right" vertical="center"/>
    </xf>
    <xf numFmtId="0" fontId="7" fillId="2" borderId="5" applyAlignment="1" pivotButton="0" quotePrefix="0" xfId="0">
      <alignment horizontal="right" vertical="center"/>
    </xf>
    <xf numFmtId="0" fontId="8" fillId="2" borderId="5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0" fillId="6" borderId="2" applyAlignment="1" pivotButton="0" quotePrefix="0" xfId="0">
      <alignment vertical="center"/>
    </xf>
    <xf numFmtId="0" fontId="0" fillId="6" borderId="1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/>
    </xf>
    <xf numFmtId="0" fontId="2" fillId="7" borderId="9" applyAlignment="1" pivotButton="0" quotePrefix="0" xfId="0">
      <alignment horizontal="left" vertical="center"/>
    </xf>
    <xf numFmtId="0" fontId="4" fillId="5" borderId="11" applyAlignment="1" pivotButton="0" quotePrefix="0" xfId="0">
      <alignment horizontal="left" vertical="center"/>
    </xf>
    <xf numFmtId="0" fontId="4" fillId="8" borderId="11" applyAlignment="1" pivotButton="0" quotePrefix="0" xfId="0">
      <alignment horizontal="left" vertical="center"/>
    </xf>
    <xf numFmtId="0" fontId="0" fillId="6" borderId="12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 indent="1"/>
    </xf>
    <xf numFmtId="0" fontId="6" fillId="7" borderId="6" applyAlignment="1" pivotButton="0" quotePrefix="0" xfId="0">
      <alignment horizontal="left" vertical="center" indent="1"/>
    </xf>
    <xf numFmtId="0" fontId="0" fillId="4" borderId="3" applyAlignment="1" pivotButton="0" quotePrefix="0" xfId="0">
      <alignment horizontal="left" vertical="center" indent="1"/>
    </xf>
    <xf numFmtId="0" fontId="0" fillId="4" borderId="6" applyAlignment="1" pivotButton="0" quotePrefix="0" xfId="0">
      <alignment horizontal="left" vertical="center" indent="1"/>
    </xf>
    <xf numFmtId="0" fontId="0" fillId="4" borderId="9" applyAlignment="1" pivotButton="0" quotePrefix="0" xfId="0">
      <alignment horizontal="left" vertical="center" indent="1"/>
    </xf>
    <xf numFmtId="0" fontId="0" fillId="4" borderId="1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4" fontId="3" fillId="4" borderId="8" applyAlignment="1" pivotButton="0" quotePrefix="0" xfId="0">
      <alignment horizontal="right"/>
    </xf>
    <xf numFmtId="4" fontId="9" fillId="5" borderId="16" applyAlignment="1" pivotButton="0" quotePrefix="0" xfId="0">
      <alignment horizontal="right"/>
    </xf>
    <xf numFmtId="164" fontId="4" fillId="8" borderId="5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/>
    </xf>
    <xf numFmtId="164" fontId="4" fillId="8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3" fillId="4" borderId="6" applyAlignment="1" pivotButton="0" quotePrefix="0" xfId="0">
      <alignment horizontal="right"/>
    </xf>
    <xf numFmtId="4" fontId="9" fillId="5" borderId="5" applyAlignment="1" pivotButton="0" quotePrefix="0" xfId="0">
      <alignment horizontal="right"/>
    </xf>
    <xf numFmtId="164" fontId="4" fillId="8" borderId="8" applyAlignment="1" pivotButton="0" quotePrefix="0" xfId="0">
      <alignment horizontal="right" vertical="center"/>
    </xf>
    <xf numFmtId="4" fontId="9" fillId="5" borderId="17" applyAlignment="1" pivotButton="0" quotePrefix="0" xfId="0">
      <alignment horizontal="right"/>
    </xf>
  </cellXfs>
  <cellStyles count="1">
    <cellStyle name="Normal" xfId="0" builtinId="0"/>
  </cellStyles>
  <dxfs count="2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zoomScaleNormal="100" workbookViewId="0">
      <selection activeCell="H27" sqref="H27"/>
    </sheetView>
  </sheetViews>
  <sheetFormatPr baseColWidth="8" defaultRowHeight="15"/>
  <cols>
    <col width="2.5703125" customWidth="1" style="22" min="1" max="1"/>
    <col width="45.7109375" customWidth="1" style="22" min="2" max="2"/>
    <col width="20.7109375" customWidth="1" style="23" min="3" max="3"/>
    <col width="9.140625" customWidth="1" style="22" min="4" max="4"/>
    <col width="9.140625" customWidth="1" style="22" min="5" max="16384"/>
  </cols>
  <sheetData>
    <row r="1" ht="30" customHeight="1">
      <c r="A1" s="19" t="inlineStr">
        <is>
          <t>Woodlawn Oaks Assisted Living LLC</t>
        </is>
      </c>
      <c r="B1" s="41" t="n"/>
      <c r="C1" s="42" t="n"/>
    </row>
    <row r="2" ht="17.25" customHeight="1"/>
    <row r="3" ht="24.75" customHeight="1">
      <c r="B3" s="12" t="inlineStr">
        <is>
          <t>Income Statement</t>
        </is>
      </c>
      <c r="C3" s="18" t="n"/>
    </row>
    <row r="4" ht="20.1" customHeight="1">
      <c r="B4" s="3" t="inlineStr">
        <is>
          <t>Line Items</t>
        </is>
      </c>
      <c r="C4" s="4" t="inlineStr">
        <is>
          <t>Year(s) Ended</t>
        </is>
      </c>
    </row>
    <row r="5" ht="15.75" customHeight="1">
      <c r="B5" s="24" t="inlineStr">
        <is>
          <t>Revenue</t>
        </is>
      </c>
      <c r="C5" s="15" t="n">
        <v>2024</v>
      </c>
    </row>
    <row r="6" ht="6" customFormat="1" customHeight="1" s="25">
      <c r="B6" s="26" t="n"/>
      <c r="C6" s="7" t="n"/>
    </row>
    <row r="7" ht="15" customFormat="1" customHeight="1" s="25">
      <c r="B7" s="35" t="inlineStr">
        <is>
          <t>Products</t>
        </is>
      </c>
      <c r="C7" s="5" t="n">
        <v>20</v>
      </c>
    </row>
    <row r="8" ht="15" customHeight="1">
      <c r="B8" s="36" t="inlineStr">
        <is>
          <t>Services</t>
        </is>
      </c>
      <c r="C8" s="43" t="n">
        <v>259605.1</v>
      </c>
    </row>
    <row r="9" ht="15" customHeight="1">
      <c r="B9" s="27" t="inlineStr">
        <is>
          <t>Total Revenue</t>
        </is>
      </c>
      <c r="C9" s="44">
        <f>SUM(C8:C8)</f>
        <v/>
      </c>
    </row>
    <row r="10" ht="11.1" customFormat="1" customHeight="1" s="25">
      <c r="B10" s="28" t="n"/>
      <c r="C10" s="45" t="n"/>
    </row>
    <row r="11" ht="15" customHeight="1">
      <c r="B11" s="24" t="inlineStr">
        <is>
          <t>Cost of Goods Sold</t>
        </is>
      </c>
      <c r="C11" s="16" t="n"/>
    </row>
    <row r="12" ht="6" customHeight="1">
      <c r="B12" s="26" t="n"/>
      <c r="C12" s="5" t="n"/>
    </row>
    <row r="13" ht="15" customHeight="1">
      <c r="B13" s="37" t="inlineStr">
        <is>
          <t>Products</t>
        </is>
      </c>
      <c r="C13" s="5" t="n">
        <v>4</v>
      </c>
    </row>
    <row r="14" ht="15" customHeight="1">
      <c r="B14" s="38" t="inlineStr">
        <is>
          <t>Services</t>
        </is>
      </c>
      <c r="C14" s="5" t="n">
        <v>4</v>
      </c>
    </row>
    <row r="15" ht="15" customHeight="1">
      <c r="B15" s="27" t="inlineStr">
        <is>
          <t>Total Cost of Goods Sold</t>
        </is>
      </c>
      <c r="C15" s="46">
        <f>SUM(C12:C14)</f>
        <v/>
      </c>
    </row>
    <row r="16" ht="11.1" customFormat="1" customHeight="1" s="25">
      <c r="B16" s="28" t="n"/>
      <c r="C16" s="45" t="n"/>
    </row>
    <row r="17" ht="15" customHeight="1">
      <c r="B17" s="27" t="inlineStr">
        <is>
          <t>Gross Profit</t>
        </is>
      </c>
      <c r="C17" s="46">
        <f>C9-C15</f>
        <v/>
      </c>
    </row>
    <row r="18" ht="11.1" customFormat="1" customHeight="1" s="25">
      <c r="B18" s="28" t="n"/>
      <c r="C18" s="45" t="n"/>
    </row>
    <row r="19" ht="15" customHeight="1">
      <c r="B19" s="29" t="inlineStr">
        <is>
          <t>Operating Expenses</t>
        </is>
      </c>
      <c r="C19" s="17" t="n"/>
    </row>
    <row r="20" ht="6" customFormat="1" customHeight="1" s="25">
      <c r="B20" s="30" t="n"/>
      <c r="C20" s="10" t="n"/>
    </row>
    <row r="21" ht="15" customHeight="1">
      <c r="B21" s="39" t="inlineStr">
        <is>
          <t>Research &amp; Development</t>
        </is>
      </c>
      <c r="C21" s="2" t="n">
        <v>4</v>
      </c>
    </row>
    <row r="22" ht="15" customHeight="1">
      <c r="B22" s="39" t="inlineStr">
        <is>
          <t>Selling, General, and Administrative</t>
        </is>
      </c>
      <c r="C22" s="47" t="n">
        <v>348152.4899999999</v>
      </c>
    </row>
    <row r="23" ht="15" customHeight="1">
      <c r="B23" s="31" t="inlineStr">
        <is>
          <t>Total Operating Expenses</t>
        </is>
      </c>
      <c r="C23" s="44">
        <f>SUM(C22:C22)</f>
        <v/>
      </c>
    </row>
    <row r="24" ht="11.1" customFormat="1" customHeight="1" s="25">
      <c r="B24" s="32" t="n"/>
      <c r="C24" s="48" t="n"/>
    </row>
    <row r="25" ht="15" customHeight="1">
      <c r="B25" s="31" t="inlineStr">
        <is>
          <t>Operating Income</t>
        </is>
      </c>
      <c r="C25" s="49">
        <f>C17-C23</f>
        <v/>
      </c>
    </row>
    <row r="26" ht="11.1" customFormat="1" customHeight="1" s="25">
      <c r="B26" s="32" t="n"/>
      <c r="C26" s="48" t="n"/>
    </row>
    <row r="27" ht="15" customHeight="1">
      <c r="B27" s="29" t="inlineStr">
        <is>
          <t>Other Income/(Expenses)</t>
        </is>
      </c>
      <c r="C27" s="17" t="n"/>
    </row>
    <row r="28" ht="6" customHeight="1">
      <c r="B28" s="33" t="n"/>
      <c r="C28" s="9" t="n"/>
    </row>
    <row r="29" ht="15" customHeight="1">
      <c r="B29" s="40" t="inlineStr">
        <is>
          <t>Other Income/(Expenses), Net</t>
        </is>
      </c>
      <c r="C29" s="50" t="n">
        <v>84978.95999999999</v>
      </c>
    </row>
    <row r="30" ht="15" customHeight="1">
      <c r="B30" s="31" t="inlineStr">
        <is>
          <t>Total Other Income/(Expense)</t>
        </is>
      </c>
      <c r="C30" s="49">
        <f>C29</f>
        <v/>
      </c>
    </row>
    <row r="31" ht="11.1" customHeight="1">
      <c r="B31" s="28" t="n"/>
      <c r="C31" s="45" t="n"/>
    </row>
    <row r="32" ht="15" customFormat="1" customHeight="1" s="25">
      <c r="B32" s="27" t="inlineStr">
        <is>
          <t>Income Before Income Taxes</t>
        </is>
      </c>
      <c r="C32" s="51">
        <f>0+0</f>
        <v/>
      </c>
    </row>
    <row r="33" ht="6" customFormat="1" customHeight="1" s="25">
      <c r="B33" s="34" t="n"/>
      <c r="C33" s="52" t="n"/>
    </row>
    <row r="34" ht="15" customHeight="1">
      <c r="B34" s="37" t="inlineStr">
        <is>
          <t>Provision for Income Taxes</t>
        </is>
      </c>
      <c r="C34" s="5" t="n">
        <v>2</v>
      </c>
    </row>
    <row r="35" ht="15" customHeight="1">
      <c r="B35" s="27" t="inlineStr">
        <is>
          <t>Net Income</t>
        </is>
      </c>
      <c r="C35" s="53">
        <f>C32-C34</f>
        <v/>
      </c>
    </row>
    <row r="36" ht="15" customHeight="1"/>
    <row r="38" ht="11.1" customHeight="1"/>
  </sheetData>
  <mergeCells count="1">
    <mergeCell ref="A1:C1"/>
  </mergeCells>
  <conditionalFormatting sqref="A7:XFD8 A13:XFD14 A21:XFD22 A29:XFD29 A34:XFD34">
    <cfRule type="cellIs" priority="2" operator="lessThan" dxfId="1">
      <formula>0</formula>
    </cfRule>
  </conditionalFormatting>
  <conditionalFormatting sqref="A9:XFD9 A15:XFD15 A17:XFD17 A23:XFD23 A25:XFD25 A30:XFD30 A35:XFD35 G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2025-12-16T01:11:27Z</dcterms:created>
  <dcterms:modified xmlns:dcterms="http://purl.org/dc/terms/" xmlns:xsi="http://www.w3.org/2001/XMLSchema-instance" xsi:type="dcterms:W3CDTF">2025-12-29T20:07:57Z</dcterms:modified>
  <cp:lastModifiedBy>Connor Hickey</cp:lastModifiedBy>
</cp:coreProperties>
</file>